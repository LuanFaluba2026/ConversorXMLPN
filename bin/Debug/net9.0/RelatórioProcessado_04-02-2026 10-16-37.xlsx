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6749e325f43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7a44ab2455453db080fa1ffd5cfaa9.psmdcp" Id="R0261a0d91d0a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Notas Processadas" sheetId="1" r:id="rId2"/>
  </x:sheets>
  <x:definedNames/>
  <x:calcPr calcId="125725"/>
</x:workbook>
</file>

<file path=xl/calcChain.xml><?xml version="1.0" encoding="utf-8"?>
<x:calcChain xmlns:x="http://schemas.openxmlformats.org/spreadsheetml/2006/main">
  <x:c r="I2" i="1"/>
  <x:c r="I3" i="1"/>
  <x:c r="I4" i="1"/>
  <x:c r="I5" i="1"/>
  <x:c r="I6" i="1"/>
  <x:c r="I7" i="1"/>
  <x:c r="I8" i="1"/>
  <x:c r="I9" i="1"/>
  <x:c r="I10" i="1"/>
  <x:c r="I11" i="1"/>
  <x:c r="I12" i="1"/>
  <x:c r="I13" i="1"/>
  <x:c r="I14" i="1"/>
  <x:c r="I15" i="1"/>
  <x:c r="I16" i="1"/>
  <x:c r="I17" i="1"/>
  <x:c r="I18" i="1"/>
  <x:c r="I19" i="1"/>
  <x:c r="I20" i="1"/>
  <x:c r="I21" i="1"/>
  <x:c r="I22" i="1"/>
  <x:c r="I23" i="1"/>
  <x:c r="I24" i="1"/>
  <x:c r="I25" i="1"/>
  <x:c r="I26" i="1"/>
  <x:c r="I27" i="1"/>
  <x:c r="I28" i="1"/>
  <x:c r="I29" i="1"/>
  <x:c r="I30" i="1"/>
  <x:c r="I31" i="1"/>
  <x:c r="I32" i="1"/>
  <x:c r="I33" i="1"/>
  <x:c r="I34" i="1"/>
  <x:c r="I35" i="1"/>
  <x:c r="I36" i="1"/>
  <x:c r="I37" i="1"/>
  <x:c r="I38" i="1"/>
  <x:c r="I39" i="1"/>
  <x:c r="I40" i="1"/>
  <x:c r="I41" i="1"/>
  <x:c r="I42" i="1"/>
  <x:c r="I43" i="1"/>
  <x:c r="I44" i="1"/>
  <x:c r="I45" i="1"/>
  <x:c r="I46" i="1"/>
  <x:c r="I47" i="1"/>
  <x:c r="I48" i="1"/>
  <x:c r="I49" i="1"/>
  <x:c r="I50" i="1"/>
  <x:c r="I51" i="1"/>
  <x:c r="I52" i="1"/>
  <x:c r="I53" i="1"/>
  <x:c r="I54" i="1"/>
  <x:c r="I55" i="1"/>
  <x:c r="I56" i="1"/>
  <x:c r="I57" i="1"/>
</x:calcChain>
</file>

<file path=xl/sharedStrings.xml><?xml version="1.0" encoding="utf-8"?>
<x:sst xmlns:x="http://schemas.openxmlformats.org/spreadsheetml/2006/main">
  <x:si>
    <x:t>Sequencia</x:t>
  </x:si>
  <x:si>
    <x:t>Data de Emissão</x:t>
  </x:si>
  <x:si>
    <x:t>Número nota</x:t>
  </x:si>
  <x:si>
    <x:t>Nome</x:t>
  </x:si>
  <x:si>
    <x:t>Local</x:t>
  </x:si>
  <x:si>
    <x:t>Cod. Serv</x:t>
  </x:si>
  <x:si>
    <x:t>Valor Bruto</x:t>
  </x:si>
  <x:si>
    <x:t>Alíquota</x:t>
  </x:si>
  <x:si>
    <x:t>Valor ISSQN</x:t>
  </x:si>
  <x:si>
    <x:t>Chave Acesso</x:t>
  </x:si>
  <x:si>
    <x:t>02/01/2026</x:t>
  </x:si>
  <x:si>
    <x:t>26613</x:t>
  </x:si>
  <x:si>
    <x:t>CONSORCIO OPERACIONAL DO TRANSPORTE COLETIVO DE PASSAGEIROS POR ONIBUS DO MUNICIPIO DE BELO HORIZONTE</x:t>
  </x:si>
  <x:si>
    <x:t>Belo Horizonte - MG</x:t>
  </x:si>
  <x:si>
    <x:t>17.12</x:t>
  </x:si>
  <x:si>
    <x:t>31062002204398505000107000000002661326013014043988</x:t>
  </x:si>
  <x:si>
    <x:t>26615</x:t>
  </x:si>
  <x:si>
    <x:t>31062002204398505000107000000002661526015064130160</x:t>
  </x:si>
  <x:si>
    <x:t>35628884</x:t>
  </x:si>
  <x:si>
    <x:t>GOOGLE BRASIL INTERNET LTDA.</x:t>
  </x:si>
  <x:si>
    <x:t>São Paulo - SP</x:t>
  </x:si>
  <x:si>
    <x:t>17.25</x:t>
  </x:si>
  <x:si>
    <x:t>35503081206990590000123000003562888426016945461220</x:t>
  </x:si>
  <x:si>
    <x:t>05/01/2026</x:t>
  </x:si>
  <x:si>
    <x:t>56</x:t>
  </x:si>
  <x:si>
    <x:t>28.985.457 FABIANO ALVES PEREIRA</x:t>
  </x:si>
  <x:si>
    <x:t>Vespasiano - MG</x:t>
  </x:si>
  <x:si>
    <x:t>07.06</x:t>
  </x:si>
  <x:si>
    <x:t>31712042228985457000111000000000005626019359769560</x:t>
  </x:si>
  <x:si>
    <x:t>111</x:t>
  </x:si>
  <x:si>
    <x:t>CARLOS ALBERTO ANSELMO</x:t>
  </x:si>
  <x:si>
    <x:t>14.01</x:t>
  </x:si>
  <x:si>
    <x:t>31062002222813500000185000000000011126013692363174</x:t>
  </x:si>
  <x:si>
    <x:t>06/01/2026</x:t>
  </x:si>
  <x:si>
    <x:t>6</x:t>
  </x:si>
  <x:si>
    <x:t>PROSAUDEMED - NUCLEO DE MEDICINA PREVENTIVA E DIAGNOSTICA LTDA</x:t>
  </x:si>
  <x:si>
    <x:t>04.03</x:t>
  </x:si>
  <x:si>
    <x:t>31062002208508067000305000000000000626016128417810</x:t>
  </x:si>
  <x:si>
    <x:t>07/01/2026</x:t>
  </x:si>
  <x:si>
    <x:t>25</x:t>
  </x:si>
  <x:si>
    <x:t>PRADO ACESSORIOS LTDA</x:t>
  </x:si>
  <x:si>
    <x:t>14.06</x:t>
  </x:si>
  <x:si>
    <x:t>31062002217165218000107000000000002526011418780741</x:t>
  </x:si>
  <x:si>
    <x:t>2600000009909</x:t>
  </x:si>
  <x:si>
    <x:t>UNIMED BELO HORIZONTE COOPERATIVA DE TRABALHO MEDICO</x:t>
  </x:si>
  <x:si>
    <x:t>04.22</x:t>
  </x:si>
  <x:si>
    <x:t>31062001216513178000176260000000990926018144763039</x:t>
  </x:si>
  <x:si>
    <x:t>08/01/2026</x:t>
  </x:si>
  <x:si>
    <x:t>8</x:t>
  </x:si>
  <x:si>
    <x:t>MCF EQUIPAMENTOS E SERVICOS LTDA</x:t>
  </x:si>
  <x:si>
    <x:t>14.02</x:t>
  </x:si>
  <x:si>
    <x:t>31062002212505229000167000000000000826018599261673</x:t>
  </x:si>
  <x:si>
    <x:t>57</x:t>
  </x:si>
  <x:si>
    <x:t>31712042228985457000111000000000005726011895864809</x:t>
  </x:si>
  <x:si>
    <x:t>09/01/2026</x:t>
  </x:si>
  <x:si>
    <x:t>2600000045802</x:t>
  </x:si>
  <x:si>
    <x:t>31062001216513178000176260000004580226014698416871</x:t>
  </x:si>
  <x:si>
    <x:t>13/01/2026</x:t>
  </x:si>
  <x:si>
    <x:t>FCA USINAGEM LTDA</x:t>
  </x:si>
  <x:si>
    <x:t>14.05</x:t>
  </x:si>
  <x:si>
    <x:t>31062002248042004000169000000000000626017418617653</x:t>
  </x:si>
  <x:si>
    <x:t>9</x:t>
  </x:si>
  <x:si>
    <x:t>31062002212505229000167000000000000926013841631549</x:t>
  </x:si>
  <x:si>
    <x:t>10</x:t>
  </x:si>
  <x:si>
    <x:t>31062002212505229000167000000000001026013765255472</x:t>
  </x:si>
  <x:si>
    <x:t>24870</x:t>
  </x:si>
  <x:si>
    <x:t>CONSORCIO OTIMO DE BILHETAGEM ELETRONICA</x:t>
  </x:si>
  <x:si>
    <x:t>31062002210426715000164000000002487026010658582986</x:t>
  </x:si>
  <x:si>
    <x:t>24873</x:t>
  </x:si>
  <x:si>
    <x:t>31062002210426715000164000000002487326018632299850</x:t>
  </x:si>
  <x:si>
    <x:t>15/01/2026</x:t>
  </x:si>
  <x:si>
    <x:t>7</x:t>
  </x:si>
  <x:si>
    <x:t>31062002248042004000169000000000000726017261212724</x:t>
  </x:si>
  <x:si>
    <x:t>49</x:t>
  </x:si>
  <x:si>
    <x:t>MARCO ANTONIO DA SILVA SERVICOS HIDRAULICOS</x:t>
  </x:si>
  <x:si>
    <x:t>07.02</x:t>
  </x:si>
  <x:si>
    <x:t>31062002227385790000127000000000004926018522455330</x:t>
  </x:si>
  <x:si>
    <x:t>16/01/2026</x:t>
  </x:si>
  <x:si>
    <x:t>15</x:t>
  </x:si>
  <x:si>
    <x:t>61.448.327 JOSE FABRICIO ESTEVES DA SILVA</x:t>
  </x:si>
  <x:si>
    <x:t>Ribeirão das Neves - MG</x:t>
  </x:si>
  <x:si>
    <x:t>31546062261448327000115000000000001526017955778272</x:t>
  </x:si>
  <x:si>
    <x:t>450</x:t>
  </x:si>
  <x:si>
    <x:t>CGC - CONTABILIDADE GERAL E CONSULTORIA</x:t>
  </x:si>
  <x:si>
    <x:t>17.19</x:t>
  </x:si>
  <x:si>
    <x:t>31062002265165649000108000000000045026017665017019</x:t>
  </x:si>
  <x:si>
    <x:t>451</x:t>
  </x:si>
  <x:si>
    <x:t>31062002265165649000108000000000045126010521865752</x:t>
  </x:si>
  <x:si>
    <x:t>452</x:t>
  </x:si>
  <x:si>
    <x:t>31062002265165649000108000000000045226013388867867</x:t>
  </x:si>
  <x:si>
    <x:t>19/01/2026</x:t>
  </x:si>
  <x:si>
    <x:t>35</x:t>
  </x:si>
  <x:si>
    <x:t>36.534.290 NATALIA RODRIGUES GOMES DE FREITAS</x:t>
  </x:si>
  <x:si>
    <x:t>31062002236534290000109000000000003526015125311010</x:t>
  </x:si>
  <x:si>
    <x:t>36</x:t>
  </x:si>
  <x:si>
    <x:t>31062002236534290000109000000000003626017776677721</x:t>
  </x:si>
  <x:si>
    <x:t>20/01/2026</x:t>
  </x:si>
  <x:si>
    <x:t>24</x:t>
  </x:si>
  <x:si>
    <x:t>TEARTE ARTES GRAFICAS LTDA</x:t>
  </x:si>
  <x:si>
    <x:t>13.05</x:t>
  </x:si>
  <x:si>
    <x:t>31062002208334490000174000000000002426015864490890</x:t>
  </x:si>
  <x:si>
    <x:t>21/01/2026</x:t>
  </x:si>
  <x:si>
    <x:t>FLAVIO BESSA NEGOCIOS IMOBILIARIOS LTDA</x:t>
  </x:si>
  <x:si>
    <x:t>10.05</x:t>
  </x:si>
  <x:si>
    <x:t>31062002258087922000168000000000001026019318267867</x:t>
  </x:si>
  <x:si>
    <x:t>11</x:t>
  </x:si>
  <x:si>
    <x:t>31062002258087922000168000000000001126013493745190</x:t>
  </x:si>
  <x:si>
    <x:t>12</x:t>
  </x:si>
  <x:si>
    <x:t>31062002258087922000168000000000001226011615839743</x:t>
  </x:si>
  <x:si>
    <x:t>18</x:t>
  </x:si>
  <x:si>
    <x:t>31546062261448327000115000000000001826015540441606</x:t>
  </x:si>
  <x:si>
    <x:t>31062002208334490000174000000000002526012490072032</x:t>
  </x:si>
  <x:si>
    <x:t>52</x:t>
  </x:si>
  <x:si>
    <x:t>42.335.337 VALQUIRIA DO NASCIMENTO ANDRADE FERREIRA</x:t>
  </x:si>
  <x:si>
    <x:t>Gouveia - MG</x:t>
  </x:si>
  <x:si>
    <x:t>11.02</x:t>
  </x:si>
  <x:si>
    <x:t>31276022242335337000108000000000005226015355157192</x:t>
  </x:si>
  <x:si>
    <x:t>925</x:t>
  </x:si>
  <x:si>
    <x:t>IMPAR HOTEIS LTDA</x:t>
  </x:si>
  <x:si>
    <x:t>09.01</x:t>
  </x:si>
  <x:si>
    <x:t>31062002218129314000235000000000092526017625512347</x:t>
  </x:si>
  <x:si>
    <x:t>926</x:t>
  </x:si>
  <x:si>
    <x:t>31062002218129314000235000000000092626014960792410</x:t>
  </x:si>
  <x:si>
    <x:t>22/01/2026</x:t>
  </x:si>
  <x:si>
    <x:t>31062002248042004000169000000000000826017542412860</x:t>
  </x:si>
  <x:si>
    <x:t>31062002248042004000169000000000000926010106484023</x:t>
  </x:si>
  <x:si>
    <x:t>31062002248042004000169000000000001026016043882816</x:t>
  </x:si>
  <x:si>
    <x:t>31062002248042004000169000000000001126017921127193</x:t>
  </x:si>
  <x:si>
    <x:t>23/01/2026</x:t>
  </x:si>
  <x:si>
    <x:t>31062002248042004000169000000000001226010866784406</x:t>
  </x:si>
  <x:si>
    <x:t>22.888.120 WELIGTON NATALINO MAGALHAES</x:t>
  </x:si>
  <x:si>
    <x:t>33.01</x:t>
  </x:si>
  <x:si>
    <x:t>31062002222888120000100000000000001526012512267519</x:t>
  </x:si>
  <x:si>
    <x:t>33</x:t>
  </x:si>
  <x:si>
    <x:t>53.506.912 GLAYSSON MOREIRA DE SOUZA</x:t>
  </x:si>
  <x:si>
    <x:t>31062002253506912000104000000000003326016832582462</x:t>
  </x:si>
  <x:si>
    <x:t>34</x:t>
  </x:si>
  <x:si>
    <x:t>53.460.596 JADSON SANTOS DA SILVA</x:t>
  </x:si>
  <x:si>
    <x:t>31062002253460596000179000000000003426012756057797</x:t>
  </x:si>
  <x:si>
    <x:t>24/01/2026</x:t>
  </x:si>
  <x:si>
    <x:t>16</x:t>
  </x:si>
  <x:si>
    <x:t>31062002222888120000100000000000001626014509667579</x:t>
  </x:si>
  <x:si>
    <x:t>25/01/2026</x:t>
  </x:si>
  <x:si>
    <x:t>4</x:t>
  </x:si>
  <x:si>
    <x:t>DINIZ CONSTRUCOES LTDA</x:t>
  </x:si>
  <x:si>
    <x:t>07.19</x:t>
  </x:si>
  <x:si>
    <x:t>31062002255465494000171000000000000426018069440117</x:t>
  </x:si>
  <x:si>
    <x:t>26/01/2026</x:t>
  </x:si>
  <x:si>
    <x:t>31062002248042004000169000000000001526017505972272</x:t>
  </x:si>
  <x:si>
    <x:t>29</x:t>
  </x:si>
  <x:si>
    <x:t>EDUARDO DIAS SOUZA</x:t>
  </x:si>
  <x:si>
    <x:t>Itabira - MG</x:t>
  </x:si>
  <x:si>
    <x:t>31317031234031382000132000000000002926018765773811</x:t>
  </x:si>
  <x:si>
    <x:t>28/01/2026</x:t>
  </x:si>
  <x:si>
    <x:t>158</x:t>
  </x:si>
  <x:si>
    <x:t>ROX PRIME COMUNICACAO VISUAL LTDA</x:t>
  </x:si>
  <x:si>
    <x:t>31062002243647142000158000000000015826014742551230</x:t>
  </x:si>
  <x:si>
    <x:t>425</x:t>
  </x:si>
  <x:si>
    <x:t>LANA PNEUS LTDA</x:t>
  </x:si>
  <x:si>
    <x:t>31317031204160523000156000000000042526017570018008</x:t>
  </x:si>
  <x:si>
    <x:t>1732</x:t>
  </x:si>
  <x:si>
    <x:t>AB COMERCIO DE VEICULOS LTDA</x:t>
  </x:si>
  <x:si>
    <x:t>31062002207124577000154000000000173226012550645234</x:t>
  </x:si>
  <x:si>
    <x:t>45249</x:t>
  </x:si>
  <x:si>
    <x:t>31062002204398505000107000000004524926010747040705</x:t>
  </x:si>
  <x:si>
    <x:t>45250</x:t>
  </x:si>
  <x:si>
    <x:t>31062002204398505000107000000004525026017646120506</x:t>
  </x:si>
  <x:si>
    <x:t>29/01/2026</x:t>
  </x:si>
  <x:si>
    <x:t>39747</x:t>
  </x:si>
  <x:si>
    <x:t>31062002210426715000164000000003974726019964824034</x:t>
  </x:si>
  <x:si>
    <x:t>39750</x:t>
  </x:si>
  <x:si>
    <x:t>31062002210426715000164000000003975026016471465285</x:t>
  </x:si>
  <x:si>
    <x:t>30/01/2026</x:t>
  </x:si>
  <x:si>
    <x:t>41</x:t>
  </x:si>
  <x:si>
    <x:t>FORMA GARDEN ARQUITETURA E PAISAGISMO LTDA</x:t>
  </x:si>
  <x:si>
    <x:t>07.01</x:t>
  </x:si>
  <x:si>
    <x:t>31062002208173671000166000000000004126011256596979</x:t>
  </x:si>
  <x:si>
    <x:t>1183</x:t>
  </x:si>
  <x:si>
    <x:t>31062002218129314000235000000000118326011370484452</x:t>
  </x:si>
  <x:si>
    <x:t>1188</x:t>
  </x:si>
  <x:si>
    <x:t>31062002218129314000235000000000118826019446243365</x:t>
  </x:si>
  <x:si>
    <x:t>967056</x:t>
  </x:si>
  <x:si>
    <x:t>HOSTGATOR BRASIL LTDA.</x:t>
  </x:si>
  <x:si>
    <x:t>Florianópolis - SC</x:t>
  </x:si>
  <x:si>
    <x:t>01.03</x:t>
  </x:si>
  <x:si>
    <x:t>42054072215754475000140000000096705626019182594371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</x:si>
</x:sst>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7"/>
  <x:sheetViews>
    <x:sheetView workbookViewId="0"/>
  </x:sheetViews>
  <x:sheetFormatPr defaultRowHeight="15"/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>
        <x:v>1.73</x:v>
      </x:c>
      <x:c r="H2" s="0">
        <x:v>5</x:v>
      </x:c>
      <x:c r="I2" s="0">
        <x:f>(G2 / 100) * H2</x:f>
      </x:c>
      <x:c r="J2" s="0" t="s">
        <x:v>15</x:v>
      </x:c>
    </x:row>
    <x:row r="3" spans="1:10">
      <x:c r="A3" s="0">
        <x:v>2</x:v>
      </x:c>
      <x:c r="B3" s="0" t="s">
        <x:v>10</x:v>
      </x:c>
      <x:c r="C3" s="0" t="s">
        <x:v>16</x:v>
      </x:c>
      <x:c r="D3" s="0" t="s">
        <x:v>12</x:v>
      </x:c>
      <x:c r="E3" s="0" t="s">
        <x:v>13</x:v>
      </x:c>
      <x:c r="F3" s="0" t="s">
        <x:v>14</x:v>
      </x:c>
      <x:c r="G3" s="0">
        <x:v>5.99</x:v>
      </x:c>
      <x:c r="H3" s="0">
        <x:v>5</x:v>
      </x:c>
      <x:c r="I3" s="0">
        <x:f>(G3 / 100) * H3</x:f>
      </x:c>
      <x:c r="J3" s="0" t="s">
        <x:v>17</x:v>
      </x:c>
    </x:row>
    <x:row r="4" spans="1:10">
      <x:c r="A4" s="0">
        <x:v>3</x:v>
      </x:c>
      <x:c r="B4" s="0" t="s">
        <x:v>10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>
        <x:v>391.21</x:v>
      </x:c>
      <x:c r="H4" s="0">
        <x:v>0</x:v>
      </x:c>
      <x:c r="I4" s="0">
        <x:f>(G4 / 100) * H4</x:f>
      </x:c>
      <x:c r="J4" s="0" t="s">
        <x:v>22</x:v>
      </x:c>
    </x:row>
    <x:row r="5" spans="1:10">
      <x:c r="A5" s="0">
        <x:v>4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>
        <x:v>2700</x:v>
      </x:c>
      <x:c r="H5" s="0">
        <x:v>0</x:v>
      </x:c>
      <x:c r="I5" s="0">
        <x:f>(G5 / 100) * H5</x:f>
      </x:c>
      <x:c r="J5" s="0" t="s">
        <x:v>28</x:v>
      </x:c>
    </x:row>
    <x:row r="6" spans="1:10">
      <x:c r="A6" s="0">
        <x:v>5</x:v>
      </x:c>
      <x:c r="B6" s="0" t="s">
        <x:v>23</x:v>
      </x:c>
      <x:c r="C6" s="0" t="s">
        <x:v>29</x:v>
      </x:c>
      <x:c r="D6" s="0" t="s">
        <x:v>30</x:v>
      </x:c>
      <x:c r="E6" s="0" t="s">
        <x:v>13</x:v>
      </x:c>
      <x:c r="F6" s="0" t="s">
        <x:v>31</x:v>
      </x:c>
      <x:c r="G6" s="0">
        <x:v>336</x:v>
      </x:c>
      <x:c r="H6" s="0">
        <x:v>3.94</x:v>
      </x:c>
      <x:c r="I6" s="0">
        <x:f>(G6 / 100) * H6</x:f>
      </x:c>
      <x:c r="J6" s="0" t="s">
        <x:v>32</x:v>
      </x:c>
    </x:row>
    <x:row r="7" spans="1:10">
      <x:c r="A7" s="0">
        <x:v>6</x:v>
      </x:c>
      <x:c r="B7" s="0" t="s">
        <x:v>33</x:v>
      </x:c>
      <x:c r="C7" s="0" t="s">
        <x:v>34</x:v>
      </x:c>
      <x:c r="D7" s="0" t="s">
        <x:v>35</x:v>
      </x:c>
      <x:c r="E7" s="0" t="s">
        <x:v>13</x:v>
      </x:c>
      <x:c r="F7" s="0" t="s">
        <x:v>36</x:v>
      </x:c>
      <x:c r="G7" s="0">
        <x:v>436.29</x:v>
      </x:c>
      <x:c r="H7" s="0">
        <x:v>3</x:v>
      </x:c>
      <x:c r="I7" s="0">
        <x:f>(G7 / 100) * H7</x:f>
      </x:c>
      <x:c r="J7" s="0" t="s">
        <x:v>37</x:v>
      </x:c>
    </x:row>
    <x:row r="8" spans="1:10">
      <x:c r="A8" s="0">
        <x:v>7</x:v>
      </x:c>
      <x:c r="B8" s="0" t="s">
        <x:v>38</x:v>
      </x:c>
      <x:c r="C8" s="0" t="s">
        <x:v>39</x:v>
      </x:c>
      <x:c r="D8" s="0" t="s">
        <x:v>40</x:v>
      </x:c>
      <x:c r="E8" s="0" t="s">
        <x:v>13</x:v>
      </x:c>
      <x:c r="F8" s="0" t="s">
        <x:v>41</x:v>
      </x:c>
      <x:c r="G8" s="0">
        <x:v>120</x:v>
      </x:c>
      <x:c r="H8" s="0">
        <x:v>5</x:v>
      </x:c>
      <x:c r="I8" s="0">
        <x:f>(G8 / 100) * H8</x:f>
      </x:c>
      <x:c r="J8" s="0" t="s">
        <x:v>42</x:v>
      </x:c>
    </x:row>
    <x:row r="9" spans="1:10">
      <x:c r="A9" s="0">
        <x:v>8</x:v>
      </x:c>
      <x:c r="B9" s="0" t="s">
        <x:v>38</x:v>
      </x:c>
      <x:c r="C9" s="0" t="s">
        <x:v>43</x:v>
      </x:c>
      <x:c r="D9" s="0" t="s">
        <x:v>44</x:v>
      </x:c>
      <x:c r="E9" s="0" t="s">
        <x:v>13</x:v>
      </x:c>
      <x:c r="F9" s="0" t="s">
        <x:v>45</x:v>
      </x:c>
      <x:c r="G9" s="0">
        <x:v>68.76</x:v>
      </x:c>
      <x:c r="H9" s="0">
        <x:v>3</x:v>
      </x:c>
      <x:c r="I9" s="0">
        <x:f>(G9 / 100) * H9</x:f>
      </x:c>
      <x:c r="J9" s="0" t="s">
        <x:v>46</x:v>
      </x:c>
    </x:row>
    <x:row r="10" spans="1:10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13</x:v>
      </x:c>
      <x:c r="F10" s="0" t="s">
        <x:v>50</x:v>
      </x:c>
      <x:c r="G10" s="0">
        <x:v>705</x:v>
      </x:c>
      <x:c r="H10" s="0">
        <x:v>0</x:v>
      </x:c>
      <x:c r="I10" s="0">
        <x:f>(G10 / 100) * H10</x:f>
      </x:c>
      <x:c r="J10" s="0" t="s">
        <x:v>51</x:v>
      </x:c>
    </x:row>
    <x:row r="11" spans="1:10">
      <x:c r="A11" s="0">
        <x:v>10</x:v>
      </x:c>
      <x:c r="B11" s="0" t="s">
        <x:v>47</x:v>
      </x:c>
      <x:c r="C11" s="0" t="s">
        <x:v>52</x:v>
      </x:c>
      <x:c r="D11" s="0" t="s">
        <x:v>25</x:v>
      </x:c>
      <x:c r="E11" s="0" t="s">
        <x:v>26</x:v>
      </x:c>
      <x:c r="F11" s="0" t="s">
        <x:v>27</x:v>
      </x:c>
      <x:c r="G11" s="0">
        <x:v>2700</x:v>
      </x:c>
      <x:c r="H11" s="0">
        <x:v>0</x:v>
      </x:c>
      <x:c r="I11" s="0">
        <x:f>(G11 / 100) * H11</x:f>
      </x:c>
      <x:c r="J11" s="0" t="s">
        <x:v>53</x:v>
      </x:c>
    </x:row>
    <x:row r="12" spans="1:10">
      <x:c r="A12" s="0">
        <x:v>11</x:v>
      </x:c>
      <x:c r="B12" s="0" t="s">
        <x:v>54</x:v>
      </x:c>
      <x:c r="C12" s="0" t="s">
        <x:v>55</x:v>
      </x:c>
      <x:c r="D12" s="0" t="s">
        <x:v>44</x:v>
      </x:c>
      <x:c r="E12" s="0" t="s">
        <x:v>13</x:v>
      </x:c>
      <x:c r="F12" s="0" t="s">
        <x:v>45</x:v>
      </x:c>
      <x:c r="G12" s="0">
        <x:v>2602.5</x:v>
      </x:c>
      <x:c r="H12" s="0">
        <x:v>3</x:v>
      </x:c>
      <x:c r="I12" s="0">
        <x:f>(G12 / 100) * H12</x:f>
      </x:c>
      <x:c r="J12" s="0" t="s">
        <x:v>56</x:v>
      </x:c>
    </x:row>
    <x:row r="13" spans="1:10">
      <x:c r="A13" s="0">
        <x:v>12</x:v>
      </x:c>
      <x:c r="B13" s="0" t="s">
        <x:v>57</x:v>
      </x:c>
      <x:c r="C13" s="0" t="s">
        <x:v>34</x:v>
      </x:c>
      <x:c r="D13" s="0" t="s">
        <x:v>58</x:v>
      </x:c>
      <x:c r="E13" s="0" t="s">
        <x:v>13</x:v>
      </x:c>
      <x:c r="F13" s="0" t="s">
        <x:v>59</x:v>
      </x:c>
      <x:c r="G13" s="0">
        <x:v>20000</x:v>
      </x:c>
      <x:c r="H13" s="0">
        <x:v>0</x:v>
      </x:c>
      <x:c r="I13" s="0">
        <x:f>(G13 / 100) * H13</x:f>
      </x:c>
      <x:c r="J13" s="0" t="s">
        <x:v>60</x:v>
      </x:c>
    </x:row>
    <x:row r="14" spans="1:10">
      <x:c r="A14" s="0">
        <x:v>13</x:v>
      </x:c>
      <x:c r="B14" s="0" t="s">
        <x:v>57</x:v>
      </x:c>
      <x:c r="C14" s="0" t="s">
        <x:v>61</x:v>
      </x:c>
      <x:c r="D14" s="0" t="s">
        <x:v>49</x:v>
      </x:c>
      <x:c r="E14" s="0" t="s">
        <x:v>13</x:v>
      </x:c>
      <x:c r="F14" s="0" t="s">
        <x:v>50</x:v>
      </x:c>
      <x:c r="G14" s="0">
        <x:v>669.75</x:v>
      </x:c>
      <x:c r="H14" s="0">
        <x:v>0</x:v>
      </x:c>
      <x:c r="I14" s="0">
        <x:f>(G14 / 100) * H14</x:f>
      </x:c>
      <x:c r="J14" s="0" t="s">
        <x:v>62</x:v>
      </x:c>
    </x:row>
    <x:row r="15" spans="1:10">
      <x:c r="A15" s="0">
        <x:v>14</x:v>
      </x:c>
      <x:c r="B15" s="0" t="s">
        <x:v>57</x:v>
      </x:c>
      <x:c r="C15" s="0" t="s">
        <x:v>63</x:v>
      </x:c>
      <x:c r="D15" s="0" t="s">
        <x:v>49</x:v>
      </x:c>
      <x:c r="E15" s="0" t="s">
        <x:v>13</x:v>
      </x:c>
      <x:c r="F15" s="0" t="s">
        <x:v>50</x:v>
      </x:c>
      <x:c r="G15" s="0">
        <x:v>669.75</x:v>
      </x:c>
      <x:c r="H15" s="0">
        <x:v>0</x:v>
      </x:c>
      <x:c r="I15" s="0">
        <x:f>(G15 / 100) * H15</x:f>
      </x:c>
      <x:c r="J15" s="0" t="s">
        <x:v>64</x:v>
      </x:c>
    </x:row>
    <x:row r="16" spans="1:10">
      <x:c r="A16" s="0">
        <x:v>15</x:v>
      </x:c>
      <x:c r="B16" s="0" t="s">
        <x:v>57</x:v>
      </x:c>
      <x:c r="C16" s="0" t="s">
        <x:v>65</x:v>
      </x:c>
      <x:c r="D16" s="0" t="s">
        <x:v>66</x:v>
      </x:c>
      <x:c r="E16" s="0" t="s">
        <x:v>13</x:v>
      </x:c>
      <x:c r="F16" s="0" t="s">
        <x:v>14</x:v>
      </x:c>
      <x:c r="G16" s="0">
        <x:v>11.04</x:v>
      </x:c>
      <x:c r="H16" s="0">
        <x:v>5</x:v>
      </x:c>
      <x:c r="I16" s="0">
        <x:f>(G16 / 100) * H16</x:f>
      </x:c>
      <x:c r="J16" s="0" t="s">
        <x:v>67</x:v>
      </x:c>
    </x:row>
    <x:row r="17" spans="1:10">
      <x:c r="A17" s="0">
        <x:v>16</x:v>
      </x:c>
      <x:c r="B17" s="0" t="s">
        <x:v>57</x:v>
      </x:c>
      <x:c r="C17" s="0" t="s">
        <x:v>68</x:v>
      </x:c>
      <x:c r="D17" s="0" t="s">
        <x:v>66</x:v>
      </x:c>
      <x:c r="E17" s="0" t="s">
        <x:v>13</x:v>
      </x:c>
      <x:c r="F17" s="0" t="s">
        <x:v>14</x:v>
      </x:c>
      <x:c r="G17" s="0">
        <x:v>2.46</x:v>
      </x:c>
      <x:c r="H17" s="0">
        <x:v>5</x:v>
      </x:c>
      <x:c r="I17" s="0">
        <x:f>(G17 / 100) * H17</x:f>
      </x:c>
      <x:c r="J17" s="0" t="s">
        <x:v>69</x:v>
      </x:c>
    </x:row>
    <x:row r="18" spans="1:10">
      <x:c r="A18" s="0">
        <x:v>17</x:v>
      </x:c>
      <x:c r="B18" s="0" t="s">
        <x:v>70</x:v>
      </x:c>
      <x:c r="C18" s="0" t="s">
        <x:v>71</x:v>
      </x:c>
      <x:c r="D18" s="0" t="s">
        <x:v>58</x:v>
      </x:c>
      <x:c r="E18" s="0" t="s">
        <x:v>13</x:v>
      </x:c>
      <x:c r="F18" s="0" t="s">
        <x:v>59</x:v>
      </x:c>
      <x:c r="G18" s="0">
        <x:v>20000</x:v>
      </x:c>
      <x:c r="H18" s="0">
        <x:v>5</x:v>
      </x:c>
      <x:c r="I18" s="0">
        <x:f>(G18 / 100) * H18</x:f>
      </x:c>
      <x:c r="J18" s="0" t="s">
        <x:v>72</x:v>
      </x:c>
    </x:row>
    <x:row r="19" spans="1:10">
      <x:c r="A19" s="0">
        <x:v>18</x:v>
      </x:c>
      <x:c r="B19" s="0" t="s">
        <x:v>70</x:v>
      </x:c>
      <x:c r="C19" s="0" t="s">
        <x:v>73</x:v>
      </x:c>
      <x:c r="D19" s="0" t="s">
        <x:v>74</x:v>
      </x:c>
      <x:c r="E19" s="0" t="s">
        <x:v>13</x:v>
      </x:c>
      <x:c r="F19" s="0" t="s">
        <x:v>75</x:v>
      </x:c>
      <x:c r="G19" s="0">
        <x:v>3000</x:v>
      </x:c>
      <x:c r="H19" s="0">
        <x:v>0</x:v>
      </x:c>
      <x:c r="I19" s="0">
        <x:f>(G19 / 100) * H19</x:f>
      </x:c>
      <x:c r="J19" s="0" t="s">
        <x:v>76</x:v>
      </x:c>
    </x:row>
    <x:row r="20" spans="1:10">
      <x:c r="A20" s="0">
        <x:v>19</x:v>
      </x:c>
      <x:c r="B20" s="0" t="s">
        <x:v>77</x:v>
      </x:c>
      <x:c r="C20" s="0" t="s">
        <x:v>78</x:v>
      </x:c>
      <x:c r="D20" s="0" t="s">
        <x:v>79</x:v>
      </x:c>
      <x:c r="E20" s="0" t="s">
        <x:v>80</x:v>
      </x:c>
      <x:c r="F20" s="0" t="s">
        <x:v>31</x:v>
      </x:c>
      <x:c r="G20" s="0">
        <x:v>1435.83</x:v>
      </x:c>
      <x:c r="H20" s="0">
        <x:v>0</x:v>
      </x:c>
      <x:c r="I20" s="0">
        <x:f>(G20 / 100) * H20</x:f>
      </x:c>
      <x:c r="J20" s="0" t="s">
        <x:v>81</x:v>
      </x:c>
    </x:row>
    <x:row r="21" spans="1:10">
      <x:c r="A21" s="0">
        <x:v>20</x:v>
      </x:c>
      <x:c r="B21" s="0" t="s">
        <x:v>77</x:v>
      </x:c>
      <x:c r="C21" s="0" t="s">
        <x:v>82</x:v>
      </x:c>
      <x:c r="D21" s="0" t="s">
        <x:v>83</x:v>
      </x:c>
      <x:c r="E21" s="0" t="s">
        <x:v>13</x:v>
      </x:c>
      <x:c r="F21" s="0" t="s">
        <x:v>84</x:v>
      </x:c>
      <x:c r="G21" s="0">
        <x:v>3750</x:v>
      </x:c>
      <x:c r="H21" s="0">
        <x:v>0</x:v>
      </x:c>
      <x:c r="I21" s="0">
        <x:f>(G21 / 100) * H21</x:f>
      </x:c>
      <x:c r="J21" s="0" t="s">
        <x:v>85</x:v>
      </x:c>
    </x:row>
    <x:row r="22" spans="1:10">
      <x:c r="A22" s="0">
        <x:v>21</x:v>
      </x:c>
      <x:c r="B22" s="0" t="s">
        <x:v>77</x:v>
      </x:c>
      <x:c r="C22" s="0" t="s">
        <x:v>86</x:v>
      </x:c>
      <x:c r="D22" s="0" t="s">
        <x:v>83</x:v>
      </x:c>
      <x:c r="E22" s="0" t="s">
        <x:v>13</x:v>
      </x:c>
      <x:c r="F22" s="0" t="s">
        <x:v>84</x:v>
      </x:c>
      <x:c r="G22" s="0">
        <x:v>588</x:v>
      </x:c>
      <x:c r="H22" s="0">
        <x:v>0</x:v>
      </x:c>
      <x:c r="I22" s="0">
        <x:f>(G22 / 100) * H22</x:f>
      </x:c>
      <x:c r="J22" s="0" t="s">
        <x:v>87</x:v>
      </x:c>
    </x:row>
    <x:row r="23" spans="1:10">
      <x:c r="A23" s="0">
        <x:v>22</x:v>
      </x:c>
      <x:c r="B23" s="0" t="s">
        <x:v>77</x:v>
      </x:c>
      <x:c r="C23" s="0" t="s">
        <x:v>88</x:v>
      </x:c>
      <x:c r="D23" s="0" t="s">
        <x:v>83</x:v>
      </x:c>
      <x:c r="E23" s="0" t="s">
        <x:v>13</x:v>
      </x:c>
      <x:c r="F23" s="0" t="s">
        <x:v>84</x:v>
      </x:c>
      <x:c r="G23" s="0">
        <x:v>787.5</x:v>
      </x:c>
      <x:c r="H23" s="0">
        <x:v>0</x:v>
      </x:c>
      <x:c r="I23" s="0">
        <x:f>(G23 / 100) * H23</x:f>
      </x:c>
      <x:c r="J23" s="0" t="s">
        <x:v>89</x:v>
      </x:c>
    </x:row>
    <x:row r="24" spans="1:10">
      <x:c r="A24" s="0">
        <x:v>23</x:v>
      </x:c>
      <x:c r="B24" s="0" t="s">
        <x:v>90</x:v>
      </x:c>
      <x:c r="C24" s="0" t="s">
        <x:v>91</x:v>
      </x:c>
      <x:c r="D24" s="0" t="s">
        <x:v>92</x:v>
      </x:c>
      <x:c r="E24" s="0" t="s">
        <x:v>13</x:v>
      </x:c>
      <x:c r="F24" s="0" t="s">
        <x:v>27</x:v>
      </x:c>
      <x:c r="G24" s="0">
        <x:v>16000</x:v>
      </x:c>
      <x:c r="H24" s="0">
        <x:v>0</x:v>
      </x:c>
      <x:c r="I24" s="0">
        <x:f>(G24 / 100) * H24</x:f>
      </x:c>
      <x:c r="J24" s="0" t="s">
        <x:v>93</x:v>
      </x:c>
    </x:row>
    <x:row r="25" spans="1:10">
      <x:c r="A25" s="0">
        <x:v>24</x:v>
      </x:c>
      <x:c r="B25" s="0" t="s">
        <x:v>90</x:v>
      </x:c>
      <x:c r="C25" s="0" t="s">
        <x:v>94</x:v>
      </x:c>
      <x:c r="D25" s="0" t="s">
        <x:v>92</x:v>
      </x:c>
      <x:c r="E25" s="0" t="s">
        <x:v>13</x:v>
      </x:c>
      <x:c r="F25" s="0" t="s">
        <x:v>27</x:v>
      </x:c>
      <x:c r="G25" s="0">
        <x:v>13000</x:v>
      </x:c>
      <x:c r="H25" s="0">
        <x:v>0</x:v>
      </x:c>
      <x:c r="I25" s="0">
        <x:f>(G25 / 100) * H25</x:f>
      </x:c>
      <x:c r="J25" s="0" t="s">
        <x:v>95</x:v>
      </x:c>
    </x:row>
    <x:row r="26" spans="1:10">
      <x:c r="A26" s="0">
        <x:v>25</x:v>
      </x:c>
      <x:c r="B26" s="0" t="s">
        <x:v>96</x:v>
      </x:c>
      <x:c r="C26" s="0" t="s">
        <x:v>97</x:v>
      </x:c>
      <x:c r="D26" s="0" t="s">
        <x:v>98</x:v>
      </x:c>
      <x:c r="E26" s="0" t="s">
        <x:v>13</x:v>
      </x:c>
      <x:c r="F26" s="0" t="s">
        <x:v>99</x:v>
      </x:c>
      <x:c r="G26" s="0">
        <x:v>8100</x:v>
      </x:c>
      <x:c r="H26" s="0">
        <x:v>0</x:v>
      </x:c>
      <x:c r="I26" s="0">
        <x:f>(G26 / 100) * H26</x:f>
      </x:c>
      <x:c r="J26" s="0" t="s">
        <x:v>100</x:v>
      </x:c>
    </x:row>
    <x:row r="27" spans="1:10">
      <x:c r="A27" s="0">
        <x:v>26</x:v>
      </x:c>
      <x:c r="B27" s="0" t="s">
        <x:v>101</x:v>
      </x:c>
      <x:c r="C27" s="0" t="s">
        <x:v>63</x:v>
      </x:c>
      <x:c r="D27" s="0" t="s">
        <x:v>102</x:v>
      </x:c>
      <x:c r="E27" s="0" t="s">
        <x:v>13</x:v>
      </x:c>
      <x:c r="F27" s="0" t="s">
        <x:v>103</x:v>
      </x:c>
      <x:c r="G27" s="0">
        <x:v>52000</x:v>
      </x:c>
      <x:c r="H27" s="0">
        <x:v>3.15</x:v>
      </x:c>
      <x:c r="I27" s="0">
        <x:f>(G27 / 100) * H27</x:f>
      </x:c>
      <x:c r="J27" s="0" t="s">
        <x:v>104</x:v>
      </x:c>
    </x:row>
    <x:row r="28" spans="1:10">
      <x:c r="A28" s="0">
        <x:v>27</x:v>
      </x:c>
      <x:c r="B28" s="0" t="s">
        <x:v>101</x:v>
      </x:c>
      <x:c r="C28" s="0" t="s">
        <x:v>105</x:v>
      </x:c>
      <x:c r="D28" s="0" t="s">
        <x:v>102</x:v>
      </x:c>
      <x:c r="E28" s="0" t="s">
        <x:v>13</x:v>
      </x:c>
      <x:c r="F28" s="0" t="s">
        <x:v>103</x:v>
      </x:c>
      <x:c r="G28" s="0">
        <x:v>52000</x:v>
      </x:c>
      <x:c r="H28" s="0">
        <x:v>3.15</x:v>
      </x:c>
      <x:c r="I28" s="0">
        <x:f>(G28 / 100) * H28</x:f>
      </x:c>
      <x:c r="J28" s="0" t="s">
        <x:v>106</x:v>
      </x:c>
    </x:row>
    <x:row r="29" spans="1:10">
      <x:c r="A29" s="0">
        <x:v>28</x:v>
      </x:c>
      <x:c r="B29" s="0" t="s">
        <x:v>101</x:v>
      </x:c>
      <x:c r="C29" s="0" t="s">
        <x:v>107</x:v>
      </x:c>
      <x:c r="D29" s="0" t="s">
        <x:v>102</x:v>
      </x:c>
      <x:c r="E29" s="0" t="s">
        <x:v>13</x:v>
      </x:c>
      <x:c r="F29" s="0" t="s">
        <x:v>103</x:v>
      </x:c>
      <x:c r="G29" s="0">
        <x:v>52000</x:v>
      </x:c>
      <x:c r="H29" s="0">
        <x:v>3.15</x:v>
      </x:c>
      <x:c r="I29" s="0">
        <x:f>(G29 / 100) * H29</x:f>
      </x:c>
      <x:c r="J29" s="0" t="s">
        <x:v>108</x:v>
      </x:c>
    </x:row>
    <x:row r="30" spans="1:10">
      <x:c r="A30" s="0">
        <x:v>29</x:v>
      </x:c>
      <x:c r="B30" s="0" t="s">
        <x:v>101</x:v>
      </x:c>
      <x:c r="C30" s="0" t="s">
        <x:v>109</x:v>
      </x:c>
      <x:c r="D30" s="0" t="s">
        <x:v>79</x:v>
      </x:c>
      <x:c r="E30" s="0" t="s">
        <x:v>80</x:v>
      </x:c>
      <x:c r="F30" s="0" t="s">
        <x:v>31</x:v>
      </x:c>
      <x:c r="G30" s="0">
        <x:v>1435.83</x:v>
      </x:c>
      <x:c r="H30" s="0">
        <x:v>0</x:v>
      </x:c>
      <x:c r="I30" s="0">
        <x:f>(G30 / 100) * H30</x:f>
      </x:c>
      <x:c r="J30" s="0" t="s">
        <x:v>110</x:v>
      </x:c>
    </x:row>
    <x:row r="31" spans="1:10">
      <x:c r="A31" s="0">
        <x:v>30</x:v>
      </x:c>
      <x:c r="B31" s="0" t="s">
        <x:v>101</x:v>
      </x:c>
      <x:c r="C31" s="0" t="s">
        <x:v>39</x:v>
      </x:c>
      <x:c r="D31" s="0" t="s">
        <x:v>98</x:v>
      </x:c>
      <x:c r="E31" s="0" t="s">
        <x:v>13</x:v>
      </x:c>
      <x:c r="F31" s="0" t="s">
        <x:v>99</x:v>
      </x:c>
      <x:c r="G31" s="0">
        <x:v>8100</x:v>
      </x:c>
      <x:c r="H31" s="0">
        <x:v>4.31</x:v>
      </x:c>
      <x:c r="I31" s="0">
        <x:f>(G31 / 100) * H31</x:f>
      </x:c>
      <x:c r="J31" s="0" t="s">
        <x:v>111</x:v>
      </x:c>
    </x:row>
    <x:row r="32" spans="1:10">
      <x:c r="A32" s="0">
        <x:v>31</x:v>
      </x:c>
      <x:c r="B32" s="0" t="s">
        <x:v>101</x:v>
      </x:c>
      <x:c r="C32" s="0" t="s">
        <x:v>112</x:v>
      </x:c>
      <x:c r="D32" s="0" t="s">
        <x:v>113</x:v>
      </x:c>
      <x:c r="E32" s="0" t="s">
        <x:v>114</x:v>
      </x:c>
      <x:c r="F32" s="0" t="s">
        <x:v>115</x:v>
      </x:c>
      <x:c r="G32" s="0">
        <x:v>1500</x:v>
      </x:c>
      <x:c r="H32" s="0">
        <x:v>0</x:v>
      </x:c>
      <x:c r="I32" s="0">
        <x:f>(G32 / 100) * H32</x:f>
      </x:c>
      <x:c r="J32" s="0" t="s">
        <x:v>116</x:v>
      </x:c>
    </x:row>
    <x:row r="33" spans="1:10">
      <x:c r="A33" s="0">
        <x:v>32</x:v>
      </x:c>
      <x:c r="B33" s="0" t="s">
        <x:v>101</x:v>
      </x:c>
      <x:c r="C33" s="0" t="s">
        <x:v>117</x:v>
      </x:c>
      <x:c r="D33" s="0" t="s">
        <x:v>118</x:v>
      </x:c>
      <x:c r="E33" s="0" t="s">
        <x:v>13</x:v>
      </x:c>
      <x:c r="F33" s="0" t="s">
        <x:v>119</x:v>
      </x:c>
      <x:c r="G33" s="0">
        <x:v>583.8</x:v>
      </x:c>
      <x:c r="H33" s="0">
        <x:v>5</x:v>
      </x:c>
      <x:c r="I33" s="0">
        <x:f>(G33 / 100) * H33</x:f>
      </x:c>
      <x:c r="J33" s="0" t="s">
        <x:v>120</x:v>
      </x:c>
    </x:row>
    <x:row r="34" spans="1:10">
      <x:c r="A34" s="0">
        <x:v>33</x:v>
      </x:c>
      <x:c r="B34" s="0" t="s">
        <x:v>101</x:v>
      </x:c>
      <x:c r="C34" s="0" t="s">
        <x:v>121</x:v>
      </x:c>
      <x:c r="D34" s="0" t="s">
        <x:v>118</x:v>
      </x:c>
      <x:c r="E34" s="0" t="s">
        <x:v>13</x:v>
      </x:c>
      <x:c r="F34" s="0" t="s">
        <x:v>119</x:v>
      </x:c>
      <x:c r="G34" s="0">
        <x:v>646.8</x:v>
      </x:c>
      <x:c r="H34" s="0">
        <x:v>5</x:v>
      </x:c>
      <x:c r="I34" s="0">
        <x:f>(G34 / 100) * H34</x:f>
      </x:c>
      <x:c r="J34" s="0" t="s">
        <x:v>122</x:v>
      </x:c>
    </x:row>
    <x:row r="35" spans="1:10">
      <x:c r="A35" s="0">
        <x:v>34</x:v>
      </x:c>
      <x:c r="B35" s="0" t="s">
        <x:v>123</x:v>
      </x:c>
      <x:c r="C35" s="0" t="s">
        <x:v>48</x:v>
      </x:c>
      <x:c r="D35" s="0" t="s">
        <x:v>58</x:v>
      </x:c>
      <x:c r="E35" s="0" t="s">
        <x:v>13</x:v>
      </x:c>
      <x:c r="F35" s="0" t="s">
        <x:v>59</x:v>
      </x:c>
      <x:c r="G35" s="0">
        <x:v>1310</x:v>
      </x:c>
      <x:c r="H35" s="0">
        <x:v>5</x:v>
      </x:c>
      <x:c r="I35" s="0">
        <x:f>(G35 / 100) * H35</x:f>
      </x:c>
      <x:c r="J35" s="0" t="s">
        <x:v>124</x:v>
      </x:c>
    </x:row>
    <x:row r="36" spans="1:10">
      <x:c r="A36" s="0">
        <x:v>35</x:v>
      </x:c>
      <x:c r="B36" s="0" t="s">
        <x:v>123</x:v>
      </x:c>
      <x:c r="C36" s="0" t="s">
        <x:v>61</x:v>
      </x:c>
      <x:c r="D36" s="0" t="s">
        <x:v>58</x:v>
      </x:c>
      <x:c r="E36" s="0" t="s">
        <x:v>13</x:v>
      </x:c>
      <x:c r="F36" s="0" t="s">
        <x:v>59</x:v>
      </x:c>
      <x:c r="G36" s="0">
        <x:v>1310</x:v>
      </x:c>
      <x:c r="H36" s="0">
        <x:v>5</x:v>
      </x:c>
      <x:c r="I36" s="0">
        <x:f>(G36 / 100) * H36</x:f>
      </x:c>
      <x:c r="J36" s="0" t="s">
        <x:v>125</x:v>
      </x:c>
    </x:row>
    <x:row r="37" spans="1:10">
      <x:c r="A37" s="0">
        <x:v>36</x:v>
      </x:c>
      <x:c r="B37" s="0" t="s">
        <x:v>123</x:v>
      </x:c>
      <x:c r="C37" s="0" t="s">
        <x:v>63</x:v>
      </x:c>
      <x:c r="D37" s="0" t="s">
        <x:v>58</x:v>
      </x:c>
      <x:c r="E37" s="0" t="s">
        <x:v>13</x:v>
      </x:c>
      <x:c r="F37" s="0" t="s">
        <x:v>59</x:v>
      </x:c>
      <x:c r="G37" s="0">
        <x:v>1310</x:v>
      </x:c>
      <x:c r="H37" s="0">
        <x:v>5</x:v>
      </x:c>
      <x:c r="I37" s="0">
        <x:f>(G37 / 100) * H37</x:f>
      </x:c>
      <x:c r="J37" s="0" t="s">
        <x:v>126</x:v>
      </x:c>
    </x:row>
    <x:row r="38" spans="1:10">
      <x:c r="A38" s="0">
        <x:v>37</x:v>
      </x:c>
      <x:c r="B38" s="0" t="s">
        <x:v>123</x:v>
      </x:c>
      <x:c r="C38" s="0" t="s">
        <x:v>105</x:v>
      </x:c>
      <x:c r="D38" s="0" t="s">
        <x:v>58</x:v>
      </x:c>
      <x:c r="E38" s="0" t="s">
        <x:v>13</x:v>
      </x:c>
      <x:c r="F38" s="0" t="s">
        <x:v>59</x:v>
      </x:c>
      <x:c r="G38" s="0">
        <x:v>1310</x:v>
      </x:c>
      <x:c r="H38" s="0">
        <x:v>5</x:v>
      </x:c>
      <x:c r="I38" s="0">
        <x:f>(G38 / 100) * H38</x:f>
      </x:c>
      <x:c r="J38" s="0" t="s">
        <x:v>127</x:v>
      </x:c>
    </x:row>
    <x:row r="39" spans="1:10">
      <x:c r="A39" s="0">
        <x:v>38</x:v>
      </x:c>
      <x:c r="B39" s="0" t="s">
        <x:v>128</x:v>
      </x:c>
      <x:c r="C39" s="0" t="s">
        <x:v>107</x:v>
      </x:c>
      <x:c r="D39" s="0" t="s">
        <x:v>58</x:v>
      </x:c>
      <x:c r="E39" s="0" t="s">
        <x:v>13</x:v>
      </x:c>
      <x:c r="F39" s="0" t="s">
        <x:v>59</x:v>
      </x:c>
      <x:c r="G39" s="0">
        <x:v>1310</x:v>
      </x:c>
      <x:c r="H39" s="0">
        <x:v>5</x:v>
      </x:c>
      <x:c r="I39" s="0">
        <x:f>(G39 / 100) * H39</x:f>
      </x:c>
      <x:c r="J39" s="0" t="s">
        <x:v>129</x:v>
      </x:c>
    </x:row>
    <x:row r="40" spans="1:10">
      <x:c r="A40" s="0">
        <x:v>39</x:v>
      </x:c>
      <x:c r="B40" s="0" t="s">
        <x:v>128</x:v>
      </x:c>
      <x:c r="C40" s="0" t="s">
        <x:v>78</x:v>
      </x:c>
      <x:c r="D40" s="0" t="s">
        <x:v>130</x:v>
      </x:c>
      <x:c r="E40" s="0" t="s">
        <x:v>13</x:v>
      </x:c>
      <x:c r="F40" s="0" t="s">
        <x:v>131</x:v>
      </x:c>
      <x:c r="G40" s="0">
        <x:v>770</x:v>
      </x:c>
      <x:c r="H40" s="0">
        <x:v>0</x:v>
      </x:c>
      <x:c r="I40" s="0">
        <x:f>(G40 / 100) * H40</x:f>
      </x:c>
      <x:c r="J40" s="0" t="s">
        <x:v>132</x:v>
      </x:c>
    </x:row>
    <x:row r="41" spans="1:10">
      <x:c r="A41" s="0">
        <x:v>40</x:v>
      </x:c>
      <x:c r="B41" s="0" t="s">
        <x:v>128</x:v>
      </x:c>
      <x:c r="C41" s="0" t="s">
        <x:v>133</x:v>
      </x:c>
      <x:c r="D41" s="0" t="s">
        <x:v>134</x:v>
      </x:c>
      <x:c r="E41" s="0" t="s">
        <x:v>13</x:v>
      </x:c>
      <x:c r="F41" s="0" t="s">
        <x:v>27</x:v>
      </x:c>
      <x:c r="G41" s="0">
        <x:v>3820.98</x:v>
      </x:c>
      <x:c r="H41" s="0">
        <x:v>0</x:v>
      </x:c>
      <x:c r="I41" s="0">
        <x:f>(G41 / 100) * H41</x:f>
      </x:c>
      <x:c r="J41" s="0" t="s">
        <x:v>135</x:v>
      </x:c>
    </x:row>
    <x:row r="42" spans="1:10">
      <x:c r="A42" s="0">
        <x:v>41</x:v>
      </x:c>
      <x:c r="B42" s="0" t="s">
        <x:v>128</x:v>
      </x:c>
      <x:c r="C42" s="0" t="s">
        <x:v>136</x:v>
      </x:c>
      <x:c r="D42" s="0" t="s">
        <x:v>137</x:v>
      </x:c>
      <x:c r="E42" s="0" t="s">
        <x:v>13</x:v>
      </x:c>
      <x:c r="F42" s="0" t="s">
        <x:v>27</x:v>
      </x:c>
      <x:c r="G42" s="0">
        <x:v>3820.98</x:v>
      </x:c>
      <x:c r="H42" s="0">
        <x:v>0</x:v>
      </x:c>
      <x:c r="I42" s="0">
        <x:f>(G42 / 100) * H42</x:f>
      </x:c>
      <x:c r="J42" s="0" t="s">
        <x:v>138</x:v>
      </x:c>
    </x:row>
    <x:row r="43" spans="1:10">
      <x:c r="A43" s="0">
        <x:v>42</x:v>
      </x:c>
      <x:c r="B43" s="0" t="s">
        <x:v>139</x:v>
      </x:c>
      <x:c r="C43" s="0" t="s">
        <x:v>140</x:v>
      </x:c>
      <x:c r="D43" s="0" t="s">
        <x:v>130</x:v>
      </x:c>
      <x:c r="E43" s="0" t="s">
        <x:v>13</x:v>
      </x:c>
      <x:c r="F43" s="0" t="s">
        <x:v>131</x:v>
      </x:c>
      <x:c r="G43" s="0">
        <x:v>600</x:v>
      </x:c>
      <x:c r="H43" s="0">
        <x:v>0</x:v>
      </x:c>
      <x:c r="I43" s="0">
        <x:f>(G43 / 100) * H43</x:f>
      </x:c>
      <x:c r="J43" s="0" t="s">
        <x:v>141</x:v>
      </x:c>
    </x:row>
    <x:row r="44" spans="1:10">
      <x:c r="A44" s="0">
        <x:v>43</x:v>
      </x:c>
      <x:c r="B44" s="0" t="s">
        <x:v>142</x:v>
      </x:c>
      <x:c r="C44" s="0" t="s">
        <x:v>143</x:v>
      </x:c>
      <x:c r="D44" s="0" t="s">
        <x:v>144</x:v>
      </x:c>
      <x:c r="E44" s="0" t="s">
        <x:v>13</x:v>
      </x:c>
      <x:c r="F44" s="0" t="s">
        <x:v>145</x:v>
      </x:c>
      <x:c r="G44" s="0">
        <x:v>21420.25</x:v>
      </x:c>
      <x:c r="H44" s="0">
        <x:v>2.48</x:v>
      </x:c>
      <x:c r="I44" s="0">
        <x:f>(G44 / 100) * H44</x:f>
      </x:c>
      <x:c r="J44" s="0" t="s">
        <x:v>146</x:v>
      </x:c>
    </x:row>
    <x:row r="45" spans="1:10">
      <x:c r="A45" s="0">
        <x:v>44</x:v>
      </x:c>
      <x:c r="B45" s="0" t="s">
        <x:v>147</x:v>
      </x:c>
      <x:c r="C45" s="0" t="s">
        <x:v>78</x:v>
      </x:c>
      <x:c r="D45" s="0" t="s">
        <x:v>58</x:v>
      </x:c>
      <x:c r="E45" s="0" t="s">
        <x:v>13</x:v>
      </x:c>
      <x:c r="F45" s="0" t="s">
        <x:v>59</x:v>
      </x:c>
      <x:c r="G45" s="0">
        <x:v>1310</x:v>
      </x:c>
      <x:c r="H45" s="0">
        <x:v>5</x:v>
      </x:c>
      <x:c r="I45" s="0">
        <x:f>(G45 / 100) * H45</x:f>
      </x:c>
      <x:c r="J45" s="0" t="s">
        <x:v>148</x:v>
      </x:c>
    </x:row>
    <x:row r="46" spans="1:10">
      <x:c r="A46" s="0">
        <x:v>45</x:v>
      </x:c>
      <x:c r="B46" s="0" t="s">
        <x:v>147</x:v>
      </x:c>
      <x:c r="C46" s="0" t="s">
        <x:v>149</x:v>
      </x:c>
      <x:c r="D46" s="0" t="s">
        <x:v>150</x:v>
      </x:c>
      <x:c r="E46" s="0" t="s">
        <x:v>151</x:v>
      </x:c>
      <x:c r="F46" s="0" t="s">
        <x:v>31</x:v>
      </x:c>
      <x:c r="G46" s="0">
        <x:v>60</x:v>
      </x:c>
      <x:c r="H46" s="0">
        <x:v>0</x:v>
      </x:c>
      <x:c r="I46" s="0">
        <x:f>(G46 / 100) * H46</x:f>
      </x:c>
      <x:c r="J46" s="0" t="s">
        <x:v>152</x:v>
      </x:c>
    </x:row>
    <x:row r="47" spans="1:10">
      <x:c r="A47" s="0">
        <x:v>46</x:v>
      </x:c>
      <x:c r="B47" s="0" t="s">
        <x:v>153</x:v>
      </x:c>
      <x:c r="C47" s="0" t="s">
        <x:v>154</x:v>
      </x:c>
      <x:c r="D47" s="0" t="s">
        <x:v>155</x:v>
      </x:c>
      <x:c r="E47" s="0" t="s">
        <x:v>13</x:v>
      </x:c>
      <x:c r="F47" s="0" t="s">
        <x:v>99</x:v>
      </x:c>
      <x:c r="G47" s="0">
        <x:v>550</x:v>
      </x:c>
      <x:c r="H47" s="0">
        <x:v>0</x:v>
      </x:c>
      <x:c r="I47" s="0">
        <x:f>(G47 / 100) * H47</x:f>
      </x:c>
      <x:c r="J47" s="0" t="s">
        <x:v>156</x:v>
      </x:c>
    </x:row>
    <x:row r="48" spans="1:10">
      <x:c r="A48" s="0">
        <x:v>47</x:v>
      </x:c>
      <x:c r="B48" s="0" t="s">
        <x:v>153</x:v>
      </x:c>
      <x:c r="C48" s="0" t="s">
        <x:v>157</x:v>
      </x:c>
      <x:c r="D48" s="0" t="s">
        <x:v>158</x:v>
      </x:c>
      <x:c r="E48" s="0" t="s">
        <x:v>151</x:v>
      </x:c>
      <x:c r="F48" s="0" t="s">
        <x:v>31</x:v>
      </x:c>
      <x:c r="G48" s="0">
        <x:v>130</x:v>
      </x:c>
      <x:c r="H48" s="0">
        <x:v>0</x:v>
      </x:c>
      <x:c r="I48" s="0">
        <x:f>(G48 / 100) * H48</x:f>
      </x:c>
      <x:c r="J48" s="0" t="s">
        <x:v>159</x:v>
      </x:c>
    </x:row>
    <x:row r="49" spans="1:10">
      <x:c r="A49" s="0">
        <x:v>48</x:v>
      </x:c>
      <x:c r="B49" s="0" t="s">
        <x:v>153</x:v>
      </x:c>
      <x:c r="C49" s="0" t="s">
        <x:v>160</x:v>
      </x:c>
      <x:c r="D49" s="0" t="s">
        <x:v>161</x:v>
      </x:c>
      <x:c r="E49" s="0" t="s">
        <x:v>13</x:v>
      </x:c>
      <x:c r="F49" s="0" t="s">
        <x:v>31</x:v>
      </x:c>
      <x:c r="G49" s="0">
        <x:v>351.5</x:v>
      </x:c>
      <x:c r="H49" s="0">
        <x:v>5</x:v>
      </x:c>
      <x:c r="I49" s="0">
        <x:f>(G49 / 100) * H49</x:f>
      </x:c>
      <x:c r="J49" s="0" t="s">
        <x:v>162</x:v>
      </x:c>
    </x:row>
    <x:row r="50" spans="1:10">
      <x:c r="A50" s="0">
        <x:v>49</x:v>
      </x:c>
      <x:c r="B50" s="0" t="s">
        <x:v>153</x:v>
      </x:c>
      <x:c r="C50" s="0" t="s">
        <x:v>163</x:v>
      </x:c>
      <x:c r="D50" s="0" t="s">
        <x:v>12</x:v>
      </x:c>
      <x:c r="E50" s="0" t="s">
        <x:v>13</x:v>
      </x:c>
      <x:c r="F50" s="0" t="s">
        <x:v>14</x:v>
      </x:c>
      <x:c r="G50" s="0">
        <x:v>11.39</x:v>
      </x:c>
      <x:c r="H50" s="0">
        <x:v>5</x:v>
      </x:c>
      <x:c r="I50" s="0">
        <x:f>(G50 / 100) * H50</x:f>
      </x:c>
      <x:c r="J50" s="0" t="s">
        <x:v>164</x:v>
      </x:c>
    </x:row>
    <x:row r="51" spans="1:10">
      <x:c r="A51" s="0">
        <x:v>50</x:v>
      </x:c>
      <x:c r="B51" s="0" t="s">
        <x:v>153</x:v>
      </x:c>
      <x:c r="C51" s="0" t="s">
        <x:v>165</x:v>
      </x:c>
      <x:c r="D51" s="0" t="s">
        <x:v>12</x:v>
      </x:c>
      <x:c r="E51" s="0" t="s">
        <x:v>13</x:v>
      </x:c>
      <x:c r="F51" s="0" t="s">
        <x:v>14</x:v>
      </x:c>
      <x:c r="G51" s="0">
        <x:v>2.44</x:v>
      </x:c>
      <x:c r="H51" s="0">
        <x:v>5</x:v>
      </x:c>
      <x:c r="I51" s="0">
        <x:f>(G51 / 100) * H51</x:f>
      </x:c>
      <x:c r="J51" s="0" t="s">
        <x:v>166</x:v>
      </x:c>
    </x:row>
    <x:row r="52" spans="1:10">
      <x:c r="A52" s="0">
        <x:v>51</x:v>
      </x:c>
      <x:c r="B52" s="0" t="s">
        <x:v>167</x:v>
      </x:c>
      <x:c r="C52" s="0" t="s">
        <x:v>168</x:v>
      </x:c>
      <x:c r="D52" s="0" t="s">
        <x:v>66</x:v>
      </x:c>
      <x:c r="E52" s="0" t="s">
        <x:v>13</x:v>
      </x:c>
      <x:c r="F52" s="0" t="s">
        <x:v>14</x:v>
      </x:c>
      <x:c r="G52" s="0">
        <x:v>3.02</x:v>
      </x:c>
      <x:c r="H52" s="0">
        <x:v>5</x:v>
      </x:c>
      <x:c r="I52" s="0">
        <x:f>(G52 / 100) * H52</x:f>
      </x:c>
      <x:c r="J52" s="0" t="s">
        <x:v>169</x:v>
      </x:c>
    </x:row>
    <x:row r="53" spans="1:10">
      <x:c r="A53" s="0">
        <x:v>52</x:v>
      </x:c>
      <x:c r="B53" s="0" t="s">
        <x:v>167</x:v>
      </x:c>
      <x:c r="C53" s="0" t="s">
        <x:v>170</x:v>
      </x:c>
      <x:c r="D53" s="0" t="s">
        <x:v>66</x:v>
      </x:c>
      <x:c r="E53" s="0" t="s">
        <x:v>13</x:v>
      </x:c>
      <x:c r="F53" s="0" t="s">
        <x:v>14</x:v>
      </x:c>
      <x:c r="G53" s="0">
        <x:v>14.94</x:v>
      </x:c>
      <x:c r="H53" s="0">
        <x:v>5</x:v>
      </x:c>
      <x:c r="I53" s="0">
        <x:f>(G53 / 100) * H53</x:f>
      </x:c>
      <x:c r="J53" s="0" t="s">
        <x:v>171</x:v>
      </x:c>
    </x:row>
    <x:row r="54" spans="1:10">
      <x:c r="A54" s="0">
        <x:v>53</x:v>
      </x:c>
      <x:c r="B54" s="0" t="s">
        <x:v>172</x:v>
      </x:c>
      <x:c r="C54" s="0" t="s">
        <x:v>173</x:v>
      </x:c>
      <x:c r="D54" s="0" t="s">
        <x:v>174</x:v>
      </x:c>
      <x:c r="E54" s="0" t="s">
        <x:v>13</x:v>
      </x:c>
      <x:c r="F54" s="0" t="s">
        <x:v>175</x:v>
      </x:c>
      <x:c r="G54" s="0">
        <x:v>2700</x:v>
      </x:c>
      <x:c r="H54" s="0">
        <x:v>0</x:v>
      </x:c>
      <x:c r="I54" s="0">
        <x:f>(G54 / 100) * H54</x:f>
      </x:c>
      <x:c r="J54" s="0" t="s">
        <x:v>176</x:v>
      </x:c>
    </x:row>
    <x:row r="55" spans="1:10">
      <x:c r="A55" s="0">
        <x:v>54</x:v>
      </x:c>
      <x:c r="B55" s="0" t="s">
        <x:v>172</x:v>
      </x:c>
      <x:c r="C55" s="0" t="s">
        <x:v>177</x:v>
      </x:c>
      <x:c r="D55" s="0" t="s">
        <x:v>118</x:v>
      </x:c>
      <x:c r="E55" s="0" t="s">
        <x:v>13</x:v>
      </x:c>
      <x:c r="F55" s="0" t="s">
        <x:v>119</x:v>
      </x:c>
      <x:c r="G55" s="0">
        <x:v>646.8</x:v>
      </x:c>
      <x:c r="H55" s="0">
        <x:v>5</x:v>
      </x:c>
      <x:c r="I55" s="0">
        <x:f>(G55 / 100) * H55</x:f>
      </x:c>
      <x:c r="J55" s="0" t="s">
        <x:v>178</x:v>
      </x:c>
    </x:row>
    <x:row r="56" spans="1:10">
      <x:c r="A56" s="0">
        <x:v>55</x:v>
      </x:c>
      <x:c r="B56" s="0" t="s">
        <x:v>172</x:v>
      </x:c>
      <x:c r="C56" s="0" t="s">
        <x:v>179</x:v>
      </x:c>
      <x:c r="D56" s="0" t="s">
        <x:v>118</x:v>
      </x:c>
      <x:c r="E56" s="0" t="s">
        <x:v>13</x:v>
      </x:c>
      <x:c r="F56" s="0" t="s">
        <x:v>119</x:v>
      </x:c>
      <x:c r="G56" s="0">
        <x:v>583.8</x:v>
      </x:c>
      <x:c r="H56" s="0">
        <x:v>5</x:v>
      </x:c>
      <x:c r="I56" s="0">
        <x:f>(G56 / 100) * H56</x:f>
      </x:c>
      <x:c r="J56" s="0" t="s">
        <x:v>180</x:v>
      </x:c>
    </x:row>
    <x:row r="57" spans="1:10">
      <x:c r="A57" s="0">
        <x:v>56</x:v>
      </x:c>
      <x:c r="B57" s="0" t="s">
        <x:v>172</x:v>
      </x:c>
      <x:c r="C57" s="0" t="s">
        <x:v>181</x:v>
      </x:c>
      <x:c r="D57" s="0" t="s">
        <x:v>182</x:v>
      </x:c>
      <x:c r="E57" s="0" t="s">
        <x:v>183</x:v>
      </x:c>
      <x:c r="F57" s="0" t="s">
        <x:v>184</x:v>
      </x:c>
      <x:c r="G57" s="0">
        <x:v>11.61</x:v>
      </x:c>
      <x:c r="H57" s="0">
        <x:v>0</x:v>
      </x:c>
      <x:c r="I57" s="0">
        <x:f>(G57 / 100) * H57</x:f>
      </x:c>
      <x:c r="J57" s="0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Notas Processadas</vt:lpstr>
      <vt:lpstr>Relatório de Notas Processadas!Print_Area</vt:lpstr>
      <vt:lpstr>Relatório de Notas Processadas!Print_Titles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